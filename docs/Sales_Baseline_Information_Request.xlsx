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Section 2 - Funnel" sheetId="2" state="visible" r:id="rId4"/>
    <sheet name="Section 3 - Relationship" sheetId="3" state="visible" r:id="rId5"/>
    <sheet name="Instrumentation Rea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<sst xmlns="http://schemas.openxmlformats.org/spreadsheetml/2006/main" count="166" uniqueCount="151">
  <si>
    <t xml:space="preserve">Sales Baseline — Information Request</t>
  </si>
  <si>
    <t xml:space="preserve">Please complete Section 1 first. It tells you which of the two sections that follow applies to you.</t>
  </si>
  <si>
    <t xml:space="preserve">ABOUT THIS RETURN</t>
  </si>
  <si>
    <t xml:space="preserve">Company</t>
  </si>
  <si>
    <t xml:space="preserve">Completed by (name and role)</t>
  </si>
  <si>
    <t xml:space="preserve">Date completed</t>
  </si>
  <si>
    <t xml:space="preserve">Period these answers cover</t>
  </si>
  <si>
    <t xml:space="preserve">12 months ending [we will pre-fill]</t>
  </si>
  <si>
    <t xml:space="preserve">Business lines included</t>
  </si>
  <si>
    <t xml:space="preserve">WHAT THIS IS AND HOW LONG IT TAKES</t>
  </si>
  <si>
    <t xml:space="preserve">•  This establishes a baseline for how your sales function performs today, so we can say what specific improvements would be worth in dollars and in months.</t>
  </si>
  <si>
    <t xml:space="preserve">•  It should take about 45 minutes. We would rather you filled it in yourself than delegated it.</t>
  </si>
  <si>
    <t xml:space="preserve">•  Approximate answers are fine and expected. We have asked your finance team separately for the things that can be pulled from systems, so nothing here asks you to compute a figure.</t>
  </si>
  <si>
    <t xml:space="preserve">•  You do not need to look anything up. If you do not know a number, say so using the confidence column and name who would. That is a more useful answer than a researched one.</t>
  </si>
  <si>
    <t xml:space="preserve">THE CONFIDENCE COLUMN — PLEASE USE IT HONESTLY</t>
  </si>
  <si>
    <t xml:space="preserve">Every answer row has a confidence dropdown. A return full of estimates tells us something true about the business. A return full of invented precision costs us both time later, because we build a model on it and it fails when tested.</t>
  </si>
  <si>
    <t xml:space="preserve">A — Actual</t>
  </si>
  <si>
    <t xml:space="preserve">From a system or a record. We could verify it if we asked.</t>
  </si>
  <si>
    <t xml:space="preserve">E — Estimate</t>
  </si>
  <si>
    <t xml:space="preserve">You are confident within about 20%.</t>
  </si>
  <si>
    <t xml:space="preserve">G — Guess</t>
  </si>
  <si>
    <t xml:space="preserve">Directional only. Could be off by half.</t>
  </si>
  <si>
    <t xml:space="preserve">N — Not recorded</t>
  </si>
  <si>
    <t xml:space="preserve">Nobody tracks this.</t>
  </si>
  <si>
    <t xml:space="preserve">X — Exists, cannot extract</t>
  </si>
  <si>
    <t xml:space="preserve">It is recorded somewhere but you cannot get it to us this week.</t>
  </si>
  <si>
    <t xml:space="preserve">Wherever you answer G, N or X, please name the person who would know in the last column. That is the single most useful column on this form.</t>
  </si>
  <si>
    <t xml:space="preserve">SECTION 1 — SIX QUESTIONS THAT TELL YOU WHAT TO FILL IN NEXT</t>
  </si>
  <si>
    <t xml:space="preserve">Two minutes. Rough answers are fine.</t>
  </si>
  <si>
    <t xml:space="preserve">Question</t>
  </si>
  <si>
    <t xml:space="preserve">Your answer</t>
  </si>
  <si>
    <t xml:space="preserve">R1.  Roughly how many formal proposals, bids or written responses did you produce last year?</t>
  </si>
  <si>
    <t xml:space="preserve">R2.  What share of last year's revenue came from clients you already had?</t>
  </si>
  <si>
    <t xml:space="preserve">R3.  Who personally originates most new client relationships? (roles, not names)</t>
  </si>
  <si>
    <t xml:space="preserve">R4.  Do you have a CRM that someone actually reads?  (yes / it exists but no / no CRM)</t>
  </si>
  <si>
    <t xml:space="preserve">R5.  If your two strongest relationship people left, roughly what share of next year's revenue goes with them?</t>
  </si>
  <si>
    <t xml:space="preserve">R6.  Is there anyone whose job is primarily selling?  (yes / no)</t>
  </si>
  <si>
    <t xml:space="preserve">WHICH SECTION DO I FILL IN?
If R1 is about 15 or more AND R5 is under about 40%  →  complete Section 2 (tab: 'Section 2 - Funnel').
Otherwise  →  complete Section 3 (tab: 'Section 3 - Relationship'), which is nine questions.
If your answers sit between the two  →  complete both. They overlap very little and the second is short.</t>
  </si>
  <si>
    <t xml:space="preserve">Questions on any of this — reply to the sender. Do not spend time researching an answer; tell us you do not have it and we will take it from there.</t>
  </si>
  <si>
    <t xml:space="preserve">Section 2 — Funnel-led sales</t>
  </si>
  <si>
    <t xml:space="preserve">Complete this if you produce roughly 15 or more formal responses a year and no single individual carries most of the revenue. 27 questions, about 45 minutes.</t>
  </si>
  <si>
    <t xml:space="preserve">Fill in the shaded cells only.  Confidence:  A actual  ·  E estimate ±20%  ·  G guess  ·  N not recorded  ·  X exists but cannot extract now.</t>
  </si>
  <si>
    <t xml:space="preserve">#</t>
  </si>
  <si>
    <t xml:space="preserve">What we are asking</t>
  </si>
  <si>
    <t xml:space="preserve">What we mean by it</t>
  </si>
  <si>
    <t xml:space="preserve">Confidence</t>
  </si>
  <si>
    <t xml:space="preserve">Who would know</t>
  </si>
  <si>
    <t xml:space="preserve">eg</t>
  </si>
  <si>
    <t xml:space="preserve">Opportunities entered in the last 12 months</t>
  </si>
  <si>
    <t xml:space="preserve">Anything logged with an owner and a decision expected</t>
  </si>
  <si>
    <t xml:space="preserve">240</t>
  </si>
  <si>
    <t xml:space="preserve">A - Actual</t>
  </si>
  <si>
    <t xml:space="preserve">—</t>
  </si>
  <si>
    <t xml:space="preserve">BLOCK 1 — FINDING WORK</t>
  </si>
  <si>
    <t xml:space="preserve">How do opportunities reach you?</t>
  </si>
  <si>
    <t xml:space="preserve">Three or four lines. Name the portals, lists, referral sources or tools you actually use.</t>
  </si>
  <si>
    <t xml:space="preserve">Who does that monitoring?</t>
  </si>
  <si>
    <t xml:space="preserve">Role, and roughly how many hours a week they spend on it.</t>
  </si>
  <si>
    <t xml:space="preserve">Anything logged with an owner and a decision expected. Count.</t>
  </si>
  <si>
    <t xml:space="preserve">Rough split by origin</t>
  </si>
  <si>
    <t xml:space="preserve">Public solicitation / outbound / inbound / partner / recompete / existing client.</t>
  </si>
  <si>
    <t xml:space="preserve">Reviewed but never logged</t>
  </si>
  <si>
    <t xml:space="preserve">Notices, leads or accounts someone looked at and dropped without recording. Count or estimate.</t>
  </si>
  <si>
    <t xml:space="preserve">Size of your addressable universe</t>
  </si>
  <si>
    <t xml:space="preserve">Your own estimate of how many qualifying opportunities exist per year, whether or not you see them.</t>
  </si>
  <si>
    <t xml:space="preserve">BLOCK 2 — CHOOSING WHAT TO CHASE</t>
  </si>
  <si>
    <t xml:space="preserve">Opportunities declined</t>
  </si>
  <si>
    <t xml:space="preserve">Count, and the single most common reason.</t>
  </si>
  <si>
    <t xml:space="preserve">Pursuits started then abandoned</t>
  </si>
  <si>
    <t xml:space="preserve">Count, and roughly how many hours were lost.</t>
  </si>
  <si>
    <t xml:space="preserve">Who makes the go / no-go call</t>
  </si>
  <si>
    <t xml:space="preserve">Role, and at what point in the pursuit it happens.</t>
  </si>
  <si>
    <t xml:space="preserve">BLOCK 3 — DOING THE WORK</t>
  </si>
  <si>
    <t xml:space="preserve">Responses or proposals produced</t>
  </si>
  <si>
    <t xml:space="preserve">Count, last 12 months.</t>
  </si>
  <si>
    <t xml:space="preserve">Typical hours per response</t>
  </si>
  <si>
    <t xml:space="preserve">Split by role if you can: capture, subject expert, writer, pricing, executive review.</t>
  </si>
  <si>
    <t xml:space="preserve">Worst-case hours per response</t>
  </si>
  <si>
    <t xml:space="preserve">The ones that hurt.</t>
  </si>
  <si>
    <t xml:space="preserve">Elapsed days, start to submission</t>
  </si>
  <si>
    <t xml:space="preserve">Typical, not best.</t>
  </si>
  <si>
    <t xml:space="preserve">Share genuinely written fresh</t>
  </si>
  <si>
    <t xml:space="preserve">Rough %. The remainder being reused or adapted from previous work.</t>
  </si>
  <si>
    <t xml:space="preserve">Where past work and pricing history live</t>
  </si>
  <si>
    <t xml:space="preserve">Name the actual location. 'SharePoint folders by year' is a good answer.</t>
  </si>
  <si>
    <t xml:space="preserve">Is it indexed or searchable?</t>
  </si>
  <si>
    <t xml:space="preserve">Yes / partly / no.</t>
  </si>
  <si>
    <t xml:space="preserve">Response format mix</t>
  </si>
  <si>
    <t xml:space="preserve">Long narrative RFP / fill-in template / online portal form, as rough percentages.</t>
  </si>
  <si>
    <t xml:space="preserve">Biggest single source of delay</t>
  </si>
  <si>
    <t xml:space="preserve">One line. What holds a response up most often.</t>
  </si>
  <si>
    <t xml:space="preserve">BLOCK 4 — OUTCOMES</t>
  </si>
  <si>
    <t xml:space="preserve">Wins in the last 12 months</t>
  </si>
  <si>
    <t xml:space="preserve">Count.</t>
  </si>
  <si>
    <t xml:space="preserve">Win rate</t>
  </si>
  <si>
    <t xml:space="preserve">And please state which denominator you are using.</t>
  </si>
  <si>
    <t xml:space="preserve">Does win rate vary by origin or deal size?</t>
  </si>
  <si>
    <t xml:space="preserve">Direction is enough. Please do not compute it.</t>
  </si>
  <si>
    <t xml:space="preserve">Are loss reasons captured?</t>
  </si>
  <si>
    <t xml:space="preserve">Structured / free text / no. If free text, roughly what share of records are populated.</t>
  </si>
  <si>
    <t xml:space="preserve">First contact to signature</t>
  </si>
  <si>
    <t xml:space="preserve">Typical elapsed time.</t>
  </si>
  <si>
    <t xml:space="preserve">BLOCK 5 — PEOPLE AND CEILING</t>
  </si>
  <si>
    <t xml:space="preserve">Sales-facing headcount by role</t>
  </si>
  <si>
    <t xml:space="preserve">Business development / capture / proposal / solution engineering / marketing / sales ops.</t>
  </si>
  <si>
    <t xml:space="preserve">Material pursuit time from outside sales</t>
  </si>
  <si>
    <t xml:space="preserve">Which roles, and roughly how much of their time.</t>
  </si>
  <si>
    <t xml:space="preserve">Delivery absorption ceiling</t>
  </si>
  <si>
    <t xml:space="preserve">How much more work could you take on without hiring? Please ask your operations lead.</t>
  </si>
  <si>
    <t xml:space="preserve">If you could fix one thing</t>
  </si>
  <si>
    <t xml:space="preserve">Free text. There is no right answer and this one is not scored.</t>
  </si>
  <si>
    <t xml:space="preserve">Section 3 — Relationship-led sales</t>
  </si>
  <si>
    <t xml:space="preserve">Complete this if new business arrives mainly through individual relationships rather than a structured pipeline. Nine questions, about 20 minutes.</t>
  </si>
  <si>
    <t xml:space="preserve">Where does relationship history live?</t>
  </si>
  <si>
    <t xml:space="preserve">CRM / inboxes / people's heads</t>
  </si>
  <si>
    <t xml:space="preserve">Mostly in the two founding partners' inboxes and heads</t>
  </si>
  <si>
    <t xml:space="preserve">BLOCK R — RELATIONSHIP-LED SALES</t>
  </si>
  <si>
    <t xml:space="preserve">How have new clients arrived over the last three years?</t>
  </si>
  <si>
    <t xml:space="preserve">Deal by deal if you can. Who introduced whom, and through what route.</t>
  </si>
  <si>
    <t xml:space="preserve">Which individuals originated each?</t>
  </si>
  <si>
    <t xml:space="preserve">Roles or names. We are looking for concentration, not credit.</t>
  </si>
  <si>
    <t xml:space="preserve">CRM / individual inboxes / people's heads / a mix. Be blunt.</t>
  </si>
  <si>
    <t xml:space="preserve">Do accounts get reviewed on any cadence?</t>
  </si>
  <si>
    <t xml:space="preserve">Who does it, how often, and whether anything is written down.</t>
  </si>
  <si>
    <t xml:space="preserve">How does expansion work typically surface?</t>
  </si>
  <si>
    <t xml:space="preserve">Client asks / partner spots it / scheduled review / other.</t>
  </si>
  <si>
    <t xml:space="preserve">Senior time spent on business development</t>
  </si>
  <si>
    <t xml:space="preserve">Roughly how many hours a week, and by whom.</t>
  </si>
  <si>
    <t xml:space="preserve">Formal solicitations responded to</t>
  </si>
  <si>
    <t xml:space="preserve">Count for last year, if any. Zero is a perfectly good answer.</t>
  </si>
  <si>
    <t xml:space="preserve">Client concentration you would consider a risk</t>
  </si>
  <si>
    <t xml:space="preserve">Your own view. We will compute the actual numbers from finance data.</t>
  </si>
  <si>
    <t xml:space="preserve">What happens to an account when its relationship owner is unavailable?</t>
  </si>
  <si>
    <t xml:space="preserve">Free text. Extended leave, illness, departure.</t>
  </si>
  <si>
    <t xml:space="preserve">Instrumentation Read</t>
  </si>
  <si>
    <t xml:space="preserve">Calculated automatically from the confidence columns. Nothing to fill in here. This is an output in its own right — it tells us how much of the sales function is measured before we analyse anything.</t>
  </si>
  <si>
    <t xml:space="preserve">Section 2</t>
  </si>
  <si>
    <t xml:space="preserve">Section 3</t>
  </si>
  <si>
    <t xml:space="preserve">What it means</t>
  </si>
  <si>
    <t xml:space="preserve">Measured. Available from a system.</t>
  </si>
  <si>
    <t xml:space="preserve">E - Estimate (+/-20%)</t>
  </si>
  <si>
    <t xml:space="preserve">Known well enough to model on.</t>
  </si>
  <si>
    <t xml:space="preserve">G - Guess (could be off by half)</t>
  </si>
  <si>
    <t xml:space="preserve">Must be established by observation before it can carry a number.</t>
  </si>
  <si>
    <t xml:space="preserve">N - Not recorded</t>
  </si>
  <si>
    <t xml:space="preserve">An instrumentation gap. Usually the first thing worth fixing.</t>
  </si>
  <si>
    <t xml:space="preserve">X - Exists, cannot extract now</t>
  </si>
  <si>
    <t xml:space="preserve">An access problem, not a measurement problem. Goes on the escalation list.</t>
  </si>
  <si>
    <t xml:space="preserve">Total answered</t>
  </si>
  <si>
    <t xml:space="preserve">Measured share (A or E)</t>
  </si>
  <si>
    <t xml:space="preserve">Below about 40% and the cost side of any business case has to be built by observation rather than taken from this return.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</si>
</sst>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40404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2CC"/>
        <bgColor rgb="FFF2F2F2"/>
      </patternFill>
    </fill>
    <fill>
      <patternFill patternType="solid">
        <fgColor rgb="FFD9E2F3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2"/>
    <col collapsed="false" customWidth="true" hidden="false" outlineLevel="0" max="3" min="3" style="0" width="30"/>
    <col collapsed="false" customWidth="true" hidden="false" outlineLevel="0" max="4" min="4" style="0" width="22"/>
    <col collapsed="false" customWidth="true" hidden="false" outlineLevel="0" max="5" min="5" style="0" width="30"/>
    <col collapsed="false" customWidth="true" hidden="false" outlineLevel="0" max="6" min="6" style="0" width="4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/>
      <c r="D5" s="4"/>
      <c r="E5" s="4"/>
    </row>
    <row r="6" customFormat="false" ht="15" hidden="false" customHeight="false" outlineLevel="0" collapsed="false">
      <c r="B6" s="5" t="s">
        <v>3</v>
      </c>
      <c r="C6" s="6"/>
      <c r="D6" s="6"/>
      <c r="E6" s="6"/>
    </row>
    <row r="7" customFormat="false" ht="15" hidden="false" customHeight="false" outlineLevel="0" collapsed="false">
      <c r="B7" s="5" t="s">
        <v>4</v>
      </c>
      <c r="C7" s="6"/>
      <c r="D7" s="6"/>
      <c r="E7" s="6"/>
    </row>
    <row r="8" customFormat="false" ht="15" hidden="false" customHeight="false" outlineLevel="0" collapsed="false">
      <c r="B8" s="5" t="s">
        <v>5</v>
      </c>
      <c r="C8" s="6"/>
      <c r="D8" s="6"/>
      <c r="E8" s="6"/>
    </row>
    <row r="9" customFormat="false" ht="15" hidden="false" customHeight="false" outlineLevel="0" collapsed="false">
      <c r="B9" s="5" t="s">
        <v>6</v>
      </c>
      <c r="C9" s="7" t="s">
        <v>7</v>
      </c>
      <c r="D9" s="7"/>
      <c r="E9" s="7"/>
    </row>
    <row r="10" customFormat="false" ht="15" hidden="false" customHeight="false" outlineLevel="0" collapsed="false">
      <c r="B10" s="5" t="s">
        <v>8</v>
      </c>
      <c r="C10" s="6"/>
      <c r="D10" s="6"/>
      <c r="E10" s="6"/>
    </row>
    <row r="12" customFormat="false" ht="15" hidden="false" customHeight="false" outlineLevel="0" collapsed="false">
      <c r="B12" s="3" t="s">
        <v>9</v>
      </c>
      <c r="C12" s="4"/>
      <c r="D12" s="4"/>
      <c r="E12" s="4"/>
    </row>
    <row r="13" customFormat="false" ht="30" hidden="false" customHeight="true" outlineLevel="0" collapsed="false">
      <c r="B13" s="8" t="s">
        <v>10</v>
      </c>
      <c r="C13" s="8"/>
      <c r="D13" s="8"/>
      <c r="E13" s="8"/>
    </row>
    <row r="14" customFormat="false" ht="30" hidden="false" customHeight="true" outlineLevel="0" collapsed="false">
      <c r="B14" s="8" t="s">
        <v>11</v>
      </c>
      <c r="C14" s="8"/>
      <c r="D14" s="8"/>
      <c r="E14" s="8"/>
    </row>
    <row r="15" customFormat="false" ht="30" hidden="false" customHeight="true" outlineLevel="0" collapsed="false">
      <c r="B15" s="8" t="s">
        <v>12</v>
      </c>
      <c r="C15" s="8"/>
      <c r="D15" s="8"/>
      <c r="E15" s="8"/>
    </row>
    <row r="16" customFormat="false" ht="30" hidden="false" customHeight="true" outlineLevel="0" collapsed="false">
      <c r="B16" s="8" t="s">
        <v>13</v>
      </c>
      <c r="C16" s="8"/>
      <c r="D16" s="8"/>
      <c r="E16" s="8"/>
    </row>
    <row r="18" customFormat="false" ht="15" hidden="false" customHeight="false" outlineLevel="0" collapsed="false">
      <c r="B18" s="3" t="s">
        <v>14</v>
      </c>
      <c r="C18" s="4"/>
      <c r="D18" s="4"/>
      <c r="E18" s="4"/>
    </row>
    <row r="19" customFormat="false" ht="30" hidden="false" customHeight="true" outlineLevel="0" collapsed="false">
      <c r="B19" s="8" t="s">
        <v>15</v>
      </c>
      <c r="C19" s="8"/>
      <c r="D19" s="8"/>
      <c r="E19" s="8"/>
    </row>
    <row r="21" customFormat="false" ht="15" hidden="false" customHeight="true" outlineLevel="0" collapsed="false">
      <c r="B21" s="9" t="s">
        <v>16</v>
      </c>
      <c r="C21" s="8" t="s">
        <v>17</v>
      </c>
      <c r="D21" s="8"/>
      <c r="E21" s="8"/>
    </row>
    <row r="22" customFormat="false" ht="15" hidden="false" customHeight="true" outlineLevel="0" collapsed="false">
      <c r="B22" s="9" t="s">
        <v>18</v>
      </c>
      <c r="C22" s="8" t="s">
        <v>19</v>
      </c>
      <c r="D22" s="8"/>
      <c r="E22" s="8"/>
    </row>
    <row r="23" customFormat="false" ht="15" hidden="false" customHeight="true" outlineLevel="0" collapsed="false">
      <c r="B23" s="9" t="s">
        <v>20</v>
      </c>
      <c r="C23" s="8" t="s">
        <v>21</v>
      </c>
      <c r="D23" s="8"/>
      <c r="E23" s="8"/>
    </row>
    <row r="24" customFormat="false" ht="15" hidden="false" customHeight="true" outlineLevel="0" collapsed="false">
      <c r="B24" s="9" t="s">
        <v>22</v>
      </c>
      <c r="C24" s="8" t="s">
        <v>23</v>
      </c>
      <c r="D24" s="8"/>
      <c r="E24" s="8"/>
    </row>
    <row r="25" customFormat="false" ht="15" hidden="false" customHeight="true" outlineLevel="0" collapsed="false">
      <c r="B25" s="9" t="s">
        <v>24</v>
      </c>
      <c r="C25" s="8" t="s">
        <v>25</v>
      </c>
      <c r="D25" s="8"/>
      <c r="E25" s="8"/>
    </row>
    <row r="27" customFormat="false" ht="27.75" hidden="false" customHeight="true" outlineLevel="0" collapsed="false">
      <c r="B27" s="10" t="s">
        <v>26</v>
      </c>
      <c r="C27" s="10"/>
      <c r="D27" s="10"/>
      <c r="E27" s="10"/>
    </row>
    <row r="29" customFormat="false" ht="15" hidden="false" customHeight="false" outlineLevel="0" collapsed="false">
      <c r="B29" s="3" t="s">
        <v>27</v>
      </c>
      <c r="C29" s="4"/>
      <c r="D29" s="4"/>
      <c r="E29" s="4"/>
    </row>
    <row r="30" customFormat="false" ht="15" hidden="false" customHeight="false" outlineLevel="0" collapsed="false">
      <c r="B30" s="11" t="s">
        <v>28</v>
      </c>
      <c r="C30" s="11"/>
      <c r="D30" s="11"/>
      <c r="E30" s="11"/>
    </row>
    <row r="32" customFormat="false" ht="15" hidden="false" customHeight="false" outlineLevel="0" collapsed="false">
      <c r="B32" s="12" t="s">
        <v>29</v>
      </c>
      <c r="C32" s="12" t="s">
        <v>30</v>
      </c>
      <c r="D32" s="12"/>
      <c r="E32" s="12"/>
    </row>
    <row r="33" customFormat="false" ht="27.75" hidden="false" customHeight="true" outlineLevel="0" collapsed="false">
      <c r="B33" s="13" t="s">
        <v>31</v>
      </c>
      <c r="C33" s="6"/>
      <c r="D33" s="6"/>
      <c r="E33" s="6"/>
    </row>
    <row r="34" customFormat="false" ht="27.75" hidden="false" customHeight="true" outlineLevel="0" collapsed="false">
      <c r="B34" s="13" t="s">
        <v>32</v>
      </c>
      <c r="C34" s="6"/>
      <c r="D34" s="6"/>
      <c r="E34" s="6"/>
    </row>
    <row r="35" customFormat="false" ht="27.75" hidden="false" customHeight="true" outlineLevel="0" collapsed="false">
      <c r="B35" s="13" t="s">
        <v>33</v>
      </c>
      <c r="C35" s="6"/>
      <c r="D35" s="6"/>
      <c r="E35" s="6"/>
    </row>
    <row r="36" customFormat="false" ht="27.75" hidden="false" customHeight="true" outlineLevel="0" collapsed="false">
      <c r="B36" s="13" t="s">
        <v>34</v>
      </c>
      <c r="C36" s="6"/>
      <c r="D36" s="6"/>
      <c r="E36" s="6"/>
    </row>
    <row r="37" customFormat="false" ht="27.75" hidden="false" customHeight="true" outlineLevel="0" collapsed="false">
      <c r="B37" s="13" t="s">
        <v>35</v>
      </c>
      <c r="C37" s="6"/>
      <c r="D37" s="6"/>
      <c r="E37" s="6"/>
    </row>
    <row r="38" customFormat="false" ht="27.75" hidden="false" customHeight="true" outlineLevel="0" collapsed="false">
      <c r="B38" s="13" t="s">
        <v>36</v>
      </c>
      <c r="C38" s="6"/>
      <c r="D38" s="6"/>
      <c r="E38" s="6"/>
    </row>
    <row r="40" customFormat="false" ht="15" hidden="false" customHeight="true" outlineLevel="0" collapsed="false">
      <c r="B40" s="14" t="s">
        <v>37</v>
      </c>
      <c r="C40" s="14"/>
      <c r="D40" s="14"/>
      <c r="E40" s="14"/>
    </row>
    <row r="41" customFormat="false" ht="15" hidden="false" customHeight="false" outlineLevel="0" collapsed="false">
      <c r="B41" s="14"/>
      <c r="C41" s="14"/>
      <c r="D41" s="14"/>
      <c r="E41" s="14"/>
    </row>
    <row r="42" customFormat="false" ht="15" hidden="false" customHeight="false" outlineLevel="0" collapsed="false">
      <c r="B42" s="14"/>
      <c r="C42" s="14"/>
      <c r="D42" s="14"/>
      <c r="E42" s="14"/>
    </row>
    <row r="43" customFormat="false" ht="15" hidden="false" customHeight="false" outlineLevel="0" collapsed="false">
      <c r="B43" s="14"/>
      <c r="C43" s="14"/>
      <c r="D43" s="14"/>
      <c r="E43" s="14"/>
    </row>
    <row r="45" customFormat="false" ht="15" hidden="false" customHeight="true" outlineLevel="0" collapsed="false">
      <c r="B45" s="15" t="s">
        <v>38</v>
      </c>
      <c r="C45" s="15"/>
      <c r="D45" s="15"/>
      <c r="E45" s="15"/>
    </row>
  </sheetData>
  <mergeCells count="26">
    <mergeCell ref="C6:E6"/>
    <mergeCell ref="C7:E7"/>
    <mergeCell ref="C8:E8"/>
    <mergeCell ref="C9:E9"/>
    <mergeCell ref="C10:E10"/>
    <mergeCell ref="B13:E13"/>
    <mergeCell ref="B14:E14"/>
    <mergeCell ref="B15:E15"/>
    <mergeCell ref="B16:E16"/>
    <mergeCell ref="B19:E19"/>
    <mergeCell ref="C21:E21"/>
    <mergeCell ref="C22:E22"/>
    <mergeCell ref="C23:E23"/>
    <mergeCell ref="C24:E24"/>
    <mergeCell ref="C25:E25"/>
    <mergeCell ref="B27:E27"/>
    <mergeCell ref="B30:E30"/>
    <mergeCell ref="C32:E32"/>
    <mergeCell ref="C33:E33"/>
    <mergeCell ref="C34:E34"/>
    <mergeCell ref="C35:E35"/>
    <mergeCell ref="C36:E36"/>
    <mergeCell ref="C37:E37"/>
    <mergeCell ref="C38:E38"/>
    <mergeCell ref="B40:E43"/>
    <mergeCell ref="B45:E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"/>
    <col collapsed="false" customWidth="true" hidden="false" outlineLevel="0" max="3" min="3" style="0" width="40"/>
    <col collapsed="false" customWidth="true" hidden="false" outlineLevel="0" max="4" min="4" style="0" width="42"/>
    <col collapsed="false" customWidth="true" hidden="false" outlineLevel="0" max="5" min="5" style="0" width="30"/>
    <col collapsed="false" customWidth="true" hidden="false" outlineLevel="0" max="6" min="6" style="0" width="28"/>
    <col collapsed="false" customWidth="true" hidden="false" outlineLevel="0" max="7" min="7" style="0" width="24"/>
  </cols>
  <sheetData>
    <row r="2" customFormat="false" ht="17.35" hidden="false" customHeight="false" outlineLevel="0" collapsed="false">
      <c r="B2" s="1" t="s">
        <v>39</v>
      </c>
    </row>
    <row r="3" customFormat="false" ht="15" hidden="false" customHeight="true" outlineLevel="0" collapsed="false">
      <c r="B3" s="15" t="s">
        <v>40</v>
      </c>
      <c r="C3" s="15"/>
      <c r="D3" s="15"/>
      <c r="E3" s="15"/>
      <c r="F3" s="15"/>
      <c r="G3" s="15"/>
    </row>
    <row r="5" customFormat="false" ht="15" hidden="false" customHeight="false" outlineLevel="0" collapsed="false">
      <c r="B5" s="16" t="s">
        <v>41</v>
      </c>
      <c r="C5" s="16"/>
      <c r="D5" s="16"/>
      <c r="E5" s="16"/>
      <c r="F5" s="16"/>
      <c r="G5" s="16"/>
    </row>
    <row r="7" customFormat="false" ht="21.75" hidden="false" customHeight="true" outlineLevel="0" collapsed="false">
      <c r="B7" s="17" t="s">
        <v>42</v>
      </c>
      <c r="C7" s="17" t="s">
        <v>43</v>
      </c>
      <c r="D7" s="17" t="s">
        <v>44</v>
      </c>
      <c r="E7" s="17" t="s">
        <v>30</v>
      </c>
      <c r="F7" s="17" t="s">
        <v>45</v>
      </c>
      <c r="G7" s="17" t="s">
        <v>46</v>
      </c>
    </row>
    <row r="8" customFormat="false" ht="30" hidden="false" customHeight="true" outlineLevel="0" collapsed="false">
      <c r="B8" s="18" t="s">
        <v>47</v>
      </c>
      <c r="C8" s="19" t="s">
        <v>48</v>
      </c>
      <c r="D8" s="19" t="s">
        <v>49</v>
      </c>
      <c r="E8" s="19" t="s">
        <v>50</v>
      </c>
      <c r="F8" s="19" t="s">
        <v>51</v>
      </c>
      <c r="G8" s="19" t="s">
        <v>52</v>
      </c>
    </row>
    <row r="9" customFormat="false" ht="19.5" hidden="false" customHeight="true" outlineLevel="0" collapsed="false">
      <c r="B9" s="12" t="s">
        <v>53</v>
      </c>
      <c r="C9" s="12"/>
      <c r="D9" s="12"/>
      <c r="E9" s="12"/>
      <c r="F9" s="12"/>
      <c r="G9" s="12"/>
    </row>
    <row r="10" customFormat="false" ht="33.75" hidden="false" customHeight="true" outlineLevel="0" collapsed="false">
      <c r="B10" s="20" t="n">
        <v>1</v>
      </c>
      <c r="C10" s="13" t="s">
        <v>54</v>
      </c>
      <c r="D10" s="21" t="s">
        <v>55</v>
      </c>
      <c r="E10" s="22"/>
      <c r="F10" s="22"/>
      <c r="G10" s="22"/>
    </row>
    <row r="11" customFormat="false" ht="33.75" hidden="false" customHeight="true" outlineLevel="0" collapsed="false">
      <c r="B11" s="20" t="n">
        <v>2</v>
      </c>
      <c r="C11" s="13" t="s">
        <v>56</v>
      </c>
      <c r="D11" s="21" t="s">
        <v>57</v>
      </c>
      <c r="E11" s="22"/>
      <c r="F11" s="22"/>
      <c r="G11" s="22"/>
    </row>
    <row r="12" customFormat="false" ht="33.75" hidden="false" customHeight="true" outlineLevel="0" collapsed="false">
      <c r="B12" s="20" t="n">
        <v>3</v>
      </c>
      <c r="C12" s="13" t="s">
        <v>48</v>
      </c>
      <c r="D12" s="21" t="s">
        <v>58</v>
      </c>
      <c r="E12" s="22"/>
      <c r="F12" s="22"/>
      <c r="G12" s="22"/>
    </row>
    <row r="13" customFormat="false" ht="33.75" hidden="false" customHeight="true" outlineLevel="0" collapsed="false">
      <c r="B13" s="20" t="n">
        <v>4</v>
      </c>
      <c r="C13" s="13" t="s">
        <v>59</v>
      </c>
      <c r="D13" s="21" t="s">
        <v>60</v>
      </c>
      <c r="E13" s="22"/>
      <c r="F13" s="22"/>
      <c r="G13" s="22"/>
    </row>
    <row r="14" customFormat="false" ht="33.75" hidden="false" customHeight="true" outlineLevel="0" collapsed="false">
      <c r="B14" s="20" t="n">
        <v>5</v>
      </c>
      <c r="C14" s="13" t="s">
        <v>61</v>
      </c>
      <c r="D14" s="21" t="s">
        <v>62</v>
      </c>
      <c r="E14" s="22"/>
      <c r="F14" s="22"/>
      <c r="G14" s="22"/>
    </row>
    <row r="15" customFormat="false" ht="33.75" hidden="false" customHeight="true" outlineLevel="0" collapsed="false">
      <c r="B15" s="20" t="n">
        <v>6</v>
      </c>
      <c r="C15" s="13" t="s">
        <v>63</v>
      </c>
      <c r="D15" s="21" t="s">
        <v>64</v>
      </c>
      <c r="E15" s="22"/>
      <c r="F15" s="22"/>
      <c r="G15" s="22"/>
    </row>
    <row r="16" customFormat="false" ht="19.5" hidden="false" customHeight="true" outlineLevel="0" collapsed="false">
      <c r="B16" s="12" t="s">
        <v>65</v>
      </c>
      <c r="C16" s="12"/>
      <c r="D16" s="12"/>
      <c r="E16" s="12"/>
      <c r="F16" s="12"/>
      <c r="G16" s="12"/>
    </row>
    <row r="17" customFormat="false" ht="33.75" hidden="false" customHeight="true" outlineLevel="0" collapsed="false">
      <c r="B17" s="20" t="n">
        <v>7</v>
      </c>
      <c r="C17" s="13" t="s">
        <v>66</v>
      </c>
      <c r="D17" s="21" t="s">
        <v>67</v>
      </c>
      <c r="E17" s="22"/>
      <c r="F17" s="22"/>
      <c r="G17" s="22"/>
    </row>
    <row r="18" customFormat="false" ht="33.75" hidden="false" customHeight="true" outlineLevel="0" collapsed="false">
      <c r="B18" s="20" t="n">
        <v>8</v>
      </c>
      <c r="C18" s="13" t="s">
        <v>68</v>
      </c>
      <c r="D18" s="21" t="s">
        <v>69</v>
      </c>
      <c r="E18" s="22"/>
      <c r="F18" s="22"/>
      <c r="G18" s="22"/>
    </row>
    <row r="19" customFormat="false" ht="33.75" hidden="false" customHeight="true" outlineLevel="0" collapsed="false">
      <c r="B19" s="20" t="n">
        <v>9</v>
      </c>
      <c r="C19" s="13" t="s">
        <v>70</v>
      </c>
      <c r="D19" s="21" t="s">
        <v>71</v>
      </c>
      <c r="E19" s="22"/>
      <c r="F19" s="22"/>
      <c r="G19" s="22"/>
    </row>
    <row r="20" customFormat="false" ht="19.5" hidden="false" customHeight="true" outlineLevel="0" collapsed="false">
      <c r="B20" s="12" t="s">
        <v>72</v>
      </c>
      <c r="C20" s="12"/>
      <c r="D20" s="12"/>
      <c r="E20" s="12"/>
      <c r="F20" s="12"/>
      <c r="G20" s="12"/>
    </row>
    <row r="21" customFormat="false" ht="33.75" hidden="false" customHeight="true" outlineLevel="0" collapsed="false">
      <c r="B21" s="20" t="n">
        <v>10</v>
      </c>
      <c r="C21" s="13" t="s">
        <v>73</v>
      </c>
      <c r="D21" s="21" t="s">
        <v>74</v>
      </c>
      <c r="E21" s="22"/>
      <c r="F21" s="22"/>
      <c r="G21" s="22"/>
    </row>
    <row r="22" customFormat="false" ht="33.75" hidden="false" customHeight="true" outlineLevel="0" collapsed="false">
      <c r="B22" s="20" t="n">
        <v>11</v>
      </c>
      <c r="C22" s="13" t="s">
        <v>75</v>
      </c>
      <c r="D22" s="21" t="s">
        <v>76</v>
      </c>
      <c r="E22" s="22"/>
      <c r="F22" s="22"/>
      <c r="G22" s="22"/>
    </row>
    <row r="23" customFormat="false" ht="33.75" hidden="false" customHeight="true" outlineLevel="0" collapsed="false">
      <c r="B23" s="20" t="n">
        <v>12</v>
      </c>
      <c r="C23" s="13" t="s">
        <v>77</v>
      </c>
      <c r="D23" s="21" t="s">
        <v>78</v>
      </c>
      <c r="E23" s="22"/>
      <c r="F23" s="22"/>
      <c r="G23" s="22"/>
    </row>
    <row r="24" customFormat="false" ht="33.75" hidden="false" customHeight="true" outlineLevel="0" collapsed="false">
      <c r="B24" s="20" t="n">
        <v>13</v>
      </c>
      <c r="C24" s="13" t="s">
        <v>79</v>
      </c>
      <c r="D24" s="21" t="s">
        <v>80</v>
      </c>
      <c r="E24" s="22"/>
      <c r="F24" s="22"/>
      <c r="G24" s="22"/>
    </row>
    <row r="25" customFormat="false" ht="33.75" hidden="false" customHeight="true" outlineLevel="0" collapsed="false">
      <c r="B25" s="20" t="n">
        <v>14</v>
      </c>
      <c r="C25" s="13" t="s">
        <v>81</v>
      </c>
      <c r="D25" s="21" t="s">
        <v>82</v>
      </c>
      <c r="E25" s="22"/>
      <c r="F25" s="22"/>
      <c r="G25" s="22"/>
    </row>
    <row r="26" customFormat="false" ht="33.75" hidden="false" customHeight="true" outlineLevel="0" collapsed="false">
      <c r="B26" s="20" t="n">
        <v>15</v>
      </c>
      <c r="C26" s="13" t="s">
        <v>83</v>
      </c>
      <c r="D26" s="21" t="s">
        <v>84</v>
      </c>
      <c r="E26" s="22"/>
      <c r="F26" s="22"/>
      <c r="G26" s="22"/>
    </row>
    <row r="27" customFormat="false" ht="33.75" hidden="false" customHeight="true" outlineLevel="0" collapsed="false">
      <c r="B27" s="20" t="n">
        <v>16</v>
      </c>
      <c r="C27" s="13" t="s">
        <v>85</v>
      </c>
      <c r="D27" s="21" t="s">
        <v>86</v>
      </c>
      <c r="E27" s="22"/>
      <c r="F27" s="22"/>
      <c r="G27" s="22"/>
    </row>
    <row r="28" customFormat="false" ht="33.75" hidden="false" customHeight="true" outlineLevel="0" collapsed="false">
      <c r="B28" s="20" t="n">
        <v>17</v>
      </c>
      <c r="C28" s="13" t="s">
        <v>87</v>
      </c>
      <c r="D28" s="21" t="s">
        <v>88</v>
      </c>
      <c r="E28" s="22"/>
      <c r="F28" s="22"/>
      <c r="G28" s="22"/>
    </row>
    <row r="29" customFormat="false" ht="33.75" hidden="false" customHeight="true" outlineLevel="0" collapsed="false">
      <c r="B29" s="20" t="n">
        <v>18</v>
      </c>
      <c r="C29" s="13" t="s">
        <v>89</v>
      </c>
      <c r="D29" s="21" t="s">
        <v>90</v>
      </c>
      <c r="E29" s="22"/>
      <c r="F29" s="22"/>
      <c r="G29" s="22"/>
    </row>
    <row r="30" customFormat="false" ht="19.5" hidden="false" customHeight="true" outlineLevel="0" collapsed="false">
      <c r="B30" s="12" t="s">
        <v>91</v>
      </c>
      <c r="C30" s="12"/>
      <c r="D30" s="12"/>
      <c r="E30" s="12"/>
      <c r="F30" s="12"/>
      <c r="G30" s="12"/>
    </row>
    <row r="31" customFormat="false" ht="33.75" hidden="false" customHeight="true" outlineLevel="0" collapsed="false">
      <c r="B31" s="20" t="n">
        <v>19</v>
      </c>
      <c r="C31" s="13" t="s">
        <v>92</v>
      </c>
      <c r="D31" s="21" t="s">
        <v>93</v>
      </c>
      <c r="E31" s="22"/>
      <c r="F31" s="22"/>
      <c r="G31" s="22"/>
    </row>
    <row r="32" customFormat="false" ht="33.75" hidden="false" customHeight="true" outlineLevel="0" collapsed="false">
      <c r="B32" s="20" t="n">
        <v>20</v>
      </c>
      <c r="C32" s="13" t="s">
        <v>94</v>
      </c>
      <c r="D32" s="21" t="s">
        <v>95</v>
      </c>
      <c r="E32" s="22"/>
      <c r="F32" s="22"/>
      <c r="G32" s="22"/>
    </row>
    <row r="33" customFormat="false" ht="33.75" hidden="false" customHeight="true" outlineLevel="0" collapsed="false">
      <c r="B33" s="20" t="n">
        <v>21</v>
      </c>
      <c r="C33" s="13" t="s">
        <v>96</v>
      </c>
      <c r="D33" s="21" t="s">
        <v>97</v>
      </c>
      <c r="E33" s="22"/>
      <c r="F33" s="22"/>
      <c r="G33" s="22"/>
    </row>
    <row r="34" customFormat="false" ht="33.75" hidden="false" customHeight="true" outlineLevel="0" collapsed="false">
      <c r="B34" s="20" t="n">
        <v>22</v>
      </c>
      <c r="C34" s="13" t="s">
        <v>98</v>
      </c>
      <c r="D34" s="21" t="s">
        <v>99</v>
      </c>
      <c r="E34" s="22"/>
      <c r="F34" s="22"/>
      <c r="G34" s="22"/>
    </row>
    <row r="35" customFormat="false" ht="33.75" hidden="false" customHeight="true" outlineLevel="0" collapsed="false">
      <c r="B35" s="20" t="n">
        <v>23</v>
      </c>
      <c r="C35" s="13" t="s">
        <v>100</v>
      </c>
      <c r="D35" s="21" t="s">
        <v>101</v>
      </c>
      <c r="E35" s="22"/>
      <c r="F35" s="22"/>
      <c r="G35" s="22"/>
    </row>
    <row r="36" customFormat="false" ht="19.5" hidden="false" customHeight="true" outlineLevel="0" collapsed="false">
      <c r="B36" s="12" t="s">
        <v>102</v>
      </c>
      <c r="C36" s="12"/>
      <c r="D36" s="12"/>
      <c r="E36" s="12"/>
      <c r="F36" s="12"/>
      <c r="G36" s="12"/>
    </row>
    <row r="37" customFormat="false" ht="33.75" hidden="false" customHeight="true" outlineLevel="0" collapsed="false">
      <c r="B37" s="20" t="n">
        <v>24</v>
      </c>
      <c r="C37" s="13" t="s">
        <v>103</v>
      </c>
      <c r="D37" s="21" t="s">
        <v>104</v>
      </c>
      <c r="E37" s="22"/>
      <c r="F37" s="22"/>
      <c r="G37" s="22"/>
    </row>
    <row r="38" customFormat="false" ht="33.75" hidden="false" customHeight="true" outlineLevel="0" collapsed="false">
      <c r="B38" s="20" t="n">
        <v>25</v>
      </c>
      <c r="C38" s="13" t="s">
        <v>105</v>
      </c>
      <c r="D38" s="21" t="s">
        <v>106</v>
      </c>
      <c r="E38" s="22"/>
      <c r="F38" s="22"/>
      <c r="G38" s="22"/>
    </row>
    <row r="39" customFormat="false" ht="33.75" hidden="false" customHeight="true" outlineLevel="0" collapsed="false">
      <c r="B39" s="20" t="n">
        <v>26</v>
      </c>
      <c r="C39" s="13" t="s">
        <v>107</v>
      </c>
      <c r="D39" s="21" t="s">
        <v>108</v>
      </c>
      <c r="E39" s="22"/>
      <c r="F39" s="22"/>
      <c r="G39" s="22"/>
    </row>
    <row r="40" customFormat="false" ht="33.75" hidden="false" customHeight="true" outlineLevel="0" collapsed="false">
      <c r="B40" s="20" t="n">
        <v>27</v>
      </c>
      <c r="C40" s="13" t="s">
        <v>109</v>
      </c>
      <c r="D40" s="21" t="s">
        <v>110</v>
      </c>
      <c r="E40" s="22"/>
      <c r="F40" s="22"/>
      <c r="G40" s="22"/>
    </row>
  </sheetData>
  <mergeCells count="7">
    <mergeCell ref="B3:G3"/>
    <mergeCell ref="B5:G5"/>
    <mergeCell ref="B9:G9"/>
    <mergeCell ref="B16:G16"/>
    <mergeCell ref="B20:G20"/>
    <mergeCell ref="B30:G30"/>
    <mergeCell ref="B36:G36"/>
  </mergeCells>
  <dataValidations count="1">
    <dataValidation allowBlank="true" error="Please pick one of the five confidence values." errorStyle="stop" errorTitle="Confidence" operator="between" showDropDown="false" showErrorMessage="false" showInputMessage="false" sqref="F10:F15 F17:F19 F21:F29 F31:F35 F37:F40" type="list">
      <formula1>"A - Actual,E - Estimate (+/-20%),G - Guess (could be off by half),N - Not recorded,X - Exists,cannot extract now"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"/>
    <col collapsed="false" customWidth="true" hidden="false" outlineLevel="0" max="3" min="3" style="0" width="40"/>
    <col collapsed="false" customWidth="true" hidden="false" outlineLevel="0" max="4" min="4" style="0" width="42"/>
    <col collapsed="false" customWidth="true" hidden="false" outlineLevel="0" max="5" min="5" style="0" width="30"/>
    <col collapsed="false" customWidth="true" hidden="false" outlineLevel="0" max="6" min="6" style="0" width="28"/>
    <col collapsed="false" customWidth="true" hidden="false" outlineLevel="0" max="7" min="7" style="0" width="24"/>
  </cols>
  <sheetData>
    <row r="2" customFormat="false" ht="17.35" hidden="false" customHeight="false" outlineLevel="0" collapsed="false">
      <c r="B2" s="1" t="s">
        <v>111</v>
      </c>
    </row>
    <row r="3" customFormat="false" ht="15" hidden="false" customHeight="true" outlineLevel="0" collapsed="false">
      <c r="B3" s="15" t="s">
        <v>112</v>
      </c>
      <c r="C3" s="15"/>
      <c r="D3" s="15"/>
      <c r="E3" s="15"/>
      <c r="F3" s="15"/>
      <c r="G3" s="15"/>
    </row>
    <row r="5" customFormat="false" ht="15" hidden="false" customHeight="false" outlineLevel="0" collapsed="false">
      <c r="B5" s="16" t="s">
        <v>41</v>
      </c>
      <c r="C5" s="16"/>
      <c r="D5" s="16"/>
      <c r="E5" s="16"/>
      <c r="F5" s="16"/>
      <c r="G5" s="16"/>
    </row>
    <row r="7" customFormat="false" ht="21.75" hidden="false" customHeight="true" outlineLevel="0" collapsed="false">
      <c r="B7" s="17" t="s">
        <v>42</v>
      </c>
      <c r="C7" s="17" t="s">
        <v>43</v>
      </c>
      <c r="D7" s="17" t="s">
        <v>44</v>
      </c>
      <c r="E7" s="17" t="s">
        <v>30</v>
      </c>
      <c r="F7" s="17" t="s">
        <v>45</v>
      </c>
      <c r="G7" s="17" t="s">
        <v>46</v>
      </c>
    </row>
    <row r="8" customFormat="false" ht="30" hidden="false" customHeight="true" outlineLevel="0" collapsed="false">
      <c r="B8" s="18" t="s">
        <v>47</v>
      </c>
      <c r="C8" s="19" t="s">
        <v>113</v>
      </c>
      <c r="D8" s="19" t="s">
        <v>114</v>
      </c>
      <c r="E8" s="19" t="s">
        <v>115</v>
      </c>
      <c r="F8" s="19" t="s">
        <v>51</v>
      </c>
      <c r="G8" s="19" t="s">
        <v>52</v>
      </c>
    </row>
    <row r="9" customFormat="false" ht="19.5" hidden="false" customHeight="true" outlineLevel="0" collapsed="false">
      <c r="B9" s="12" t="s">
        <v>116</v>
      </c>
      <c r="C9" s="12"/>
      <c r="D9" s="12"/>
      <c r="E9" s="12"/>
      <c r="F9" s="12"/>
      <c r="G9" s="12"/>
    </row>
    <row r="10" customFormat="false" ht="33.75" hidden="false" customHeight="true" outlineLevel="0" collapsed="false">
      <c r="B10" s="20" t="n">
        <v>1</v>
      </c>
      <c r="C10" s="13" t="s">
        <v>117</v>
      </c>
      <c r="D10" s="21" t="s">
        <v>118</v>
      </c>
      <c r="E10" s="22"/>
      <c r="F10" s="22"/>
      <c r="G10" s="22"/>
    </row>
    <row r="11" customFormat="false" ht="33.75" hidden="false" customHeight="true" outlineLevel="0" collapsed="false">
      <c r="B11" s="20" t="n">
        <v>2</v>
      </c>
      <c r="C11" s="13" t="s">
        <v>119</v>
      </c>
      <c r="D11" s="21" t="s">
        <v>120</v>
      </c>
      <c r="E11" s="22"/>
      <c r="F11" s="22"/>
      <c r="G11" s="22"/>
    </row>
    <row r="12" customFormat="false" ht="33.75" hidden="false" customHeight="true" outlineLevel="0" collapsed="false">
      <c r="B12" s="20" t="n">
        <v>3</v>
      </c>
      <c r="C12" s="13" t="s">
        <v>113</v>
      </c>
      <c r="D12" s="21" t="s">
        <v>121</v>
      </c>
      <c r="E12" s="22"/>
      <c r="F12" s="22"/>
      <c r="G12" s="22"/>
    </row>
    <row r="13" customFormat="false" ht="33.75" hidden="false" customHeight="true" outlineLevel="0" collapsed="false">
      <c r="B13" s="20" t="n">
        <v>4</v>
      </c>
      <c r="C13" s="13" t="s">
        <v>122</v>
      </c>
      <c r="D13" s="21" t="s">
        <v>123</v>
      </c>
      <c r="E13" s="22"/>
      <c r="F13" s="22"/>
      <c r="G13" s="22"/>
    </row>
    <row r="14" customFormat="false" ht="33.75" hidden="false" customHeight="true" outlineLevel="0" collapsed="false">
      <c r="B14" s="20" t="n">
        <v>5</v>
      </c>
      <c r="C14" s="13" t="s">
        <v>124</v>
      </c>
      <c r="D14" s="21" t="s">
        <v>125</v>
      </c>
      <c r="E14" s="22"/>
      <c r="F14" s="22"/>
      <c r="G14" s="22"/>
    </row>
    <row r="15" customFormat="false" ht="33.75" hidden="false" customHeight="true" outlineLevel="0" collapsed="false">
      <c r="B15" s="20" t="n">
        <v>6</v>
      </c>
      <c r="C15" s="13" t="s">
        <v>126</v>
      </c>
      <c r="D15" s="21" t="s">
        <v>127</v>
      </c>
      <c r="E15" s="22"/>
      <c r="F15" s="22"/>
      <c r="G15" s="22"/>
    </row>
    <row r="16" customFormat="false" ht="33.75" hidden="false" customHeight="true" outlineLevel="0" collapsed="false">
      <c r="B16" s="20" t="n">
        <v>7</v>
      </c>
      <c r="C16" s="13" t="s">
        <v>128</v>
      </c>
      <c r="D16" s="21" t="s">
        <v>129</v>
      </c>
      <c r="E16" s="22"/>
      <c r="F16" s="22"/>
      <c r="G16" s="22"/>
    </row>
    <row r="17" customFormat="false" ht="33.75" hidden="false" customHeight="true" outlineLevel="0" collapsed="false">
      <c r="B17" s="20" t="n">
        <v>8</v>
      </c>
      <c r="C17" s="13" t="s">
        <v>130</v>
      </c>
      <c r="D17" s="21" t="s">
        <v>131</v>
      </c>
      <c r="E17" s="22"/>
      <c r="F17" s="22"/>
      <c r="G17" s="22"/>
    </row>
    <row r="18" customFormat="false" ht="33.75" hidden="false" customHeight="true" outlineLevel="0" collapsed="false">
      <c r="B18" s="20" t="n">
        <v>9</v>
      </c>
      <c r="C18" s="13" t="s">
        <v>132</v>
      </c>
      <c r="D18" s="21" t="s">
        <v>133</v>
      </c>
      <c r="E18" s="22"/>
      <c r="F18" s="22"/>
      <c r="G18" s="22"/>
    </row>
  </sheetData>
  <mergeCells count="3">
    <mergeCell ref="B3:G3"/>
    <mergeCell ref="B5:G5"/>
    <mergeCell ref="B9:G9"/>
  </mergeCells>
  <dataValidations count="1">
    <dataValidation allowBlank="true" error="Please pick one of the five confidence values." errorStyle="stop" errorTitle="Confidence" operator="between" showDropDown="false" showErrorMessage="false" showInputMessage="false" sqref="F10:F18" type="list">
      <formula1>"A - Actual,E - Estimate (+/-20%),G - Guess (could be off by half),N - Not recorded,X - Exists,cannot extract now"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4" min="3" style="0" width="14"/>
    <col collapsed="false" customWidth="true" hidden="false" outlineLevel="0" max="5" min="5" style="0" width="52"/>
  </cols>
  <sheetData>
    <row r="2" customFormat="false" ht="17.35" hidden="false" customHeight="false" outlineLevel="0" collapsed="false">
      <c r="B2" s="1" t="s">
        <v>134</v>
      </c>
    </row>
    <row r="3" customFormat="false" ht="27.75" hidden="false" customHeight="true" outlineLevel="0" collapsed="false">
      <c r="B3" s="15" t="s">
        <v>135</v>
      </c>
      <c r="C3" s="15"/>
      <c r="D3" s="15"/>
      <c r="E3" s="15"/>
    </row>
    <row r="5" customFormat="false" ht="15" hidden="false" customHeight="false" outlineLevel="0" collapsed="false">
      <c r="B5" s="17" t="s">
        <v>45</v>
      </c>
      <c r="C5" s="17" t="s">
        <v>136</v>
      </c>
      <c r="D5" s="17" t="s">
        <v>137</v>
      </c>
      <c r="E5" s="17" t="s">
        <v>138</v>
      </c>
    </row>
    <row r="6" customFormat="false" ht="25.5" hidden="false" customHeight="true" outlineLevel="0" collapsed="false">
      <c r="B6" s="23" t="s">
        <v>51</v>
      </c>
      <c r="C6" s="24" t="n">
        <f aca="false">COUNTIF('Section 2 - Funnel'!$F$10:$F$60,$B6)</f>
        <v>0</v>
      </c>
      <c r="D6" s="24" t="n">
        <f aca="false">COUNTIF('Section 3 - Relationship'!$F$10:$F$40,$B6)</f>
        <v>0</v>
      </c>
      <c r="E6" s="21" t="s">
        <v>139</v>
      </c>
    </row>
    <row r="7" customFormat="false" ht="25.5" hidden="false" customHeight="true" outlineLevel="0" collapsed="false">
      <c r="B7" s="23" t="s">
        <v>140</v>
      </c>
      <c r="C7" s="24" t="n">
        <f aca="false">COUNTIF('Section 2 - Funnel'!$F$10:$F$60,$B7)</f>
        <v>0</v>
      </c>
      <c r="D7" s="24" t="n">
        <f aca="false">COUNTIF('Section 3 - Relationship'!$F$10:$F$40,$B7)</f>
        <v>0</v>
      </c>
      <c r="E7" s="21" t="s">
        <v>141</v>
      </c>
    </row>
    <row r="8" customFormat="false" ht="25.5" hidden="false" customHeight="true" outlineLevel="0" collapsed="false">
      <c r="B8" s="23" t="s">
        <v>142</v>
      </c>
      <c r="C8" s="24" t="n">
        <f aca="false">COUNTIF('Section 2 - Funnel'!$F$10:$F$60,$B8)</f>
        <v>0</v>
      </c>
      <c r="D8" s="24" t="n">
        <f aca="false">COUNTIF('Section 3 - Relationship'!$F$10:$F$40,$B8)</f>
        <v>0</v>
      </c>
      <c r="E8" s="21" t="s">
        <v>143</v>
      </c>
    </row>
    <row r="9" customFormat="false" ht="25.5" hidden="false" customHeight="true" outlineLevel="0" collapsed="false">
      <c r="B9" s="23" t="s">
        <v>144</v>
      </c>
      <c r="C9" s="24" t="n">
        <f aca="false">COUNTIF('Section 2 - Funnel'!$F$10:$F$60,$B9)</f>
        <v>0</v>
      </c>
      <c r="D9" s="24" t="n">
        <f aca="false">COUNTIF('Section 3 - Relationship'!$F$10:$F$40,$B9)</f>
        <v>0</v>
      </c>
      <c r="E9" s="21" t="s">
        <v>145</v>
      </c>
    </row>
    <row r="10" customFormat="false" ht="25.5" hidden="false" customHeight="true" outlineLevel="0" collapsed="false">
      <c r="B10" s="23" t="s">
        <v>146</v>
      </c>
      <c r="C10" s="24" t="n">
        <f aca="false">COUNTIF('Section 2 - Funnel'!$F$10:$F$60,$B10)</f>
        <v>0</v>
      </c>
      <c r="D10" s="24" t="n">
        <f aca="false">COUNTIF('Section 3 - Relationship'!$F$10:$F$40,$B10)</f>
        <v>0</v>
      </c>
      <c r="E10" s="21" t="s">
        <v>147</v>
      </c>
    </row>
    <row r="11" customFormat="false" ht="15" hidden="false" customHeight="false" outlineLevel="0" collapsed="false">
      <c r="B11" s="25" t="s">
        <v>148</v>
      </c>
      <c r="C11" s="26" t="n">
        <f aca="false">SUM(C6:C10)</f>
        <v>0</v>
      </c>
      <c r="D11" s="26" t="n">
        <f aca="false">SUM(D6:D10)</f>
        <v>0</v>
      </c>
      <c r="E11" s="27"/>
    </row>
    <row r="13" customFormat="false" ht="27.75" hidden="false" customHeight="true" outlineLevel="0" collapsed="false">
      <c r="B13" s="25" t="s">
        <v>149</v>
      </c>
      <c r="C13" s="28" t="n">
        <f aca="false">IFERROR((C6+C7)/C11,0)</f>
        <v>0</v>
      </c>
      <c r="D13" s="28" t="n">
        <f aca="false">IFERROR((D6+D7)/D11,0)</f>
        <v>0</v>
      </c>
      <c r="E13" s="21" t="s">
        <v>150</v>
      </c>
    </row>
  </sheetData>
  <mergeCells count="1">
    <mergeCell ref="B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2026-08-29T20:59:31Z</dcterms:created>
  <dc:creator>openpyxl</dc:creator>
  <dc:description/>
  <dc:language>en-US</dc:language>
  <cp:lastModifiedBy/>
  <dcterms:modified xsi:type="dcterms:W3CDTF">2026-08-29T20:59:31Z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